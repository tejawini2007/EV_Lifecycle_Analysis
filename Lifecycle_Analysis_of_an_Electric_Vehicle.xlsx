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0" windowWidth="19140" windowHeight="8590" activeTab="2"/>
  </bookViews>
  <sheets>
    <sheet name="Lifecycle Analysis" sheetId="1" r:id="rId1"/>
    <sheet name="15-Year Analysis" sheetId="2" r:id="rId2"/>
    <sheet name="Final Comparison" sheetId="3" r:id="rId3"/>
  </sheets>
  <calcPr calcId="145621"/>
</workbook>
</file>

<file path=xl/calcChain.xml><?xml version="1.0" encoding="utf-8"?>
<calcChain xmlns="http://schemas.openxmlformats.org/spreadsheetml/2006/main">
  <c r="E4" i="2" l="1"/>
  <c r="E5" i="2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3" i="2"/>
  <c r="D4" i="2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3" i="2"/>
  <c r="C14" i="1"/>
  <c r="B14" i="1"/>
  <c r="C13" i="1"/>
  <c r="B13" i="1"/>
  <c r="C12" i="1"/>
  <c r="B12" i="1"/>
</calcChain>
</file>

<file path=xl/sharedStrings.xml><?xml version="1.0" encoding="utf-8"?>
<sst xmlns="http://schemas.openxmlformats.org/spreadsheetml/2006/main" count="31" uniqueCount="27">
  <si>
    <t>Lifecycle Analysis of an Electric Vehicle</t>
  </si>
  <si>
    <t>EV vs Internal Combustion Engine (ICE) Vehicle</t>
  </si>
  <si>
    <t>Codec Technologies – EV Internship Project</t>
  </si>
  <si>
    <t>Parameter</t>
  </si>
  <si>
    <t>EV</t>
  </si>
  <si>
    <t>ICE Vehicle</t>
  </si>
  <si>
    <t>Manufacturing Emissions (kg CO₂)</t>
  </si>
  <si>
    <t>Battery Manufacturing Emissions (kg CO₂)</t>
  </si>
  <si>
    <t>Annual Distance (km)</t>
  </si>
  <si>
    <t>Energy/Fuel Consumption</t>
  </si>
  <si>
    <t>Emission Factor</t>
  </si>
  <si>
    <t>Recycling Credit (kg CO₂)</t>
  </si>
  <si>
    <t>Annual Operating Emissions (kg CO₂)</t>
  </si>
  <si>
    <t>15-Year Operating Emissions (kg CO₂)</t>
  </si>
  <si>
    <t>Total Lifecycle Emissions (kg CO₂)</t>
  </si>
  <si>
    <t>Year</t>
  </si>
  <si>
    <t>EV Annual CO₂ (kg)</t>
  </si>
  <si>
    <t>ICE Annual CO₂ (kg)</t>
  </si>
  <si>
    <t>EV Cumulative CO₂ (kg)</t>
  </si>
  <si>
    <t>ICE Cumulative CO₂ (kg)</t>
  </si>
  <si>
    <t>Lower CO₂ = Better</t>
  </si>
  <si>
    <t>EV vs ICE</t>
  </si>
  <si>
    <t>15-Year ICE CO₂</t>
  </si>
  <si>
    <t>15-Year EV CO₂</t>
  </si>
  <si>
    <t>CO₂ Difference</t>
  </si>
  <si>
    <t>Overall Compareison</t>
  </si>
  <si>
    <t>CO2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</si>
</sst>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471752201436048E-2"/>
          <c:y val="2.5321658444146765E-2"/>
          <c:w val="0.55372663127998156"/>
          <c:h val="0.84998268369980723"/>
        </c:manualLayout>
      </c:layout>
      <c:lineChart>
        <c:grouping val="stacked"/>
        <c:varyColors val="0"/>
        <c:ser>
          <c:idx val="3"/>
          <c:order val="0"/>
          <c:tx>
            <c:strRef>
              <c:f>'15-Year Analysis'!$D$1</c:f>
              <c:strCache>
                <c:ptCount val="1"/>
                <c:pt idx="0">
                  <c:v>EV Cumulative CO₂ (kg)</c:v>
                </c:pt>
              </c:strCache>
            </c:strRef>
          </c:tx>
          <c:val>
            <c:numRef>
              <c:f>'15-Year Analysis'!$D$2:$D$16</c:f>
              <c:numCache>
                <c:formatCode>General</c:formatCode>
                <c:ptCount val="15"/>
                <c:pt idx="0">
                  <c:v>7360.75</c:v>
                </c:pt>
                <c:pt idx="1">
                  <c:v>9221.5</c:v>
                </c:pt>
                <c:pt idx="2">
                  <c:v>11082.25</c:v>
                </c:pt>
                <c:pt idx="3">
                  <c:v>12943</c:v>
                </c:pt>
                <c:pt idx="4">
                  <c:v>14803.75</c:v>
                </c:pt>
                <c:pt idx="5">
                  <c:v>16664.5</c:v>
                </c:pt>
                <c:pt idx="6">
                  <c:v>18525.25</c:v>
                </c:pt>
                <c:pt idx="7">
                  <c:v>20386</c:v>
                </c:pt>
                <c:pt idx="8">
                  <c:v>22246.75</c:v>
                </c:pt>
                <c:pt idx="9">
                  <c:v>24107.5</c:v>
                </c:pt>
                <c:pt idx="10">
                  <c:v>25968.25</c:v>
                </c:pt>
                <c:pt idx="11">
                  <c:v>27829</c:v>
                </c:pt>
                <c:pt idx="12">
                  <c:v>29689.75</c:v>
                </c:pt>
                <c:pt idx="13">
                  <c:v>31550.5</c:v>
                </c:pt>
                <c:pt idx="14">
                  <c:v>33411.25</c:v>
                </c:pt>
              </c:numCache>
            </c:numRef>
          </c:val>
          <c:smooth val="0"/>
        </c:ser>
        <c:ser>
          <c:idx val="4"/>
          <c:order val="1"/>
          <c:tx>
            <c:strRef>
              <c:f>'15-Year Analysis'!$E$1</c:f>
              <c:strCache>
                <c:ptCount val="1"/>
                <c:pt idx="0">
                  <c:v>ICE Cumulative CO₂ (kg)</c:v>
                </c:pt>
              </c:strCache>
            </c:strRef>
          </c:tx>
          <c:val>
            <c:numRef>
              <c:f>'15-Year Analysis'!$E$2:$E$16</c:f>
              <c:numCache>
                <c:formatCode>General</c:formatCode>
                <c:ptCount val="15"/>
                <c:pt idx="0">
                  <c:v>6925.5</c:v>
                </c:pt>
                <c:pt idx="1">
                  <c:v>9351</c:v>
                </c:pt>
                <c:pt idx="2">
                  <c:v>11776.5</c:v>
                </c:pt>
                <c:pt idx="3">
                  <c:v>14202</c:v>
                </c:pt>
                <c:pt idx="4">
                  <c:v>16627.5</c:v>
                </c:pt>
                <c:pt idx="5">
                  <c:v>19053</c:v>
                </c:pt>
                <c:pt idx="6">
                  <c:v>21478.5</c:v>
                </c:pt>
                <c:pt idx="7">
                  <c:v>23904</c:v>
                </c:pt>
                <c:pt idx="8">
                  <c:v>26329.5</c:v>
                </c:pt>
                <c:pt idx="9">
                  <c:v>28755</c:v>
                </c:pt>
                <c:pt idx="10">
                  <c:v>31180.5</c:v>
                </c:pt>
                <c:pt idx="11">
                  <c:v>33606</c:v>
                </c:pt>
                <c:pt idx="12">
                  <c:v>36031.5</c:v>
                </c:pt>
                <c:pt idx="13">
                  <c:v>38457</c:v>
                </c:pt>
                <c:pt idx="14">
                  <c:v>40882.5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805632"/>
        <c:axId val="228811520"/>
      </c:lineChart>
      <c:catAx>
        <c:axId val="228805632"/>
        <c:scaling>
          <c:orientation val="minMax"/>
        </c:scaling>
        <c:delete val="0"/>
        <c:axPos val="b"/>
        <c:majorTickMark val="out"/>
        <c:minorTickMark val="none"/>
        <c:tickLblPos val="nextTo"/>
        <c:crossAx val="228811520"/>
        <c:crosses val="autoZero"/>
        <c:auto val="1"/>
        <c:lblAlgn val="ctr"/>
        <c:lblOffset val="100"/>
        <c:noMultiLvlLbl val="0"/>
      </c:catAx>
      <c:valAx>
        <c:axId val="228811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880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0047977019118568"/>
          <c:y val="0.2934034011612881"/>
          <c:w val="0.29952018064863983"/>
          <c:h val="0.15006567125167444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CO2 Difference</c:v>
          </c:tx>
          <c:invertIfNegative val="0"/>
          <c:cat>
            <c:strRef>
              <c:f>'Final Comparison'!$A$2:$A$5</c:f>
              <c:strCache>
                <c:ptCount val="4"/>
                <c:pt idx="0">
                  <c:v>15-Year ICE CO₂</c:v>
                </c:pt>
                <c:pt idx="1">
                  <c:v>15-Year EV CO₂</c:v>
                </c:pt>
                <c:pt idx="2">
                  <c:v>CO₂ Difference</c:v>
                </c:pt>
                <c:pt idx="3">
                  <c:v>Lower CO₂ = Better</c:v>
                </c:pt>
              </c:strCache>
            </c:strRef>
          </c:cat>
          <c:val>
            <c:numRef>
              <c:f>'Final Comparison'!$D$2:$D$5</c:f>
              <c:numCache>
                <c:formatCode>General</c:formatCode>
                <c:ptCount val="4"/>
                <c:pt idx="0">
                  <c:v>435.25</c:v>
                </c:pt>
                <c:pt idx="1">
                  <c:v>435.25</c:v>
                </c:pt>
                <c:pt idx="2">
                  <c:v>435.25</c:v>
                </c:pt>
                <c:pt idx="3">
                  <c:v>435.25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824960"/>
        <c:axId val="228826496"/>
      </c:barChart>
      <c:catAx>
        <c:axId val="228824960"/>
        <c:scaling>
          <c:orientation val="minMax"/>
        </c:scaling>
        <c:delete val="0"/>
        <c:axPos val="b"/>
        <c:majorTickMark val="out"/>
        <c:minorTickMark val="none"/>
        <c:tickLblPos val="nextTo"/>
        <c:crossAx val="228826496"/>
        <c:crosses val="autoZero"/>
        <c:auto val="1"/>
        <c:lblAlgn val="ctr"/>
        <c:lblOffset val="100"/>
        <c:noMultiLvlLbl val="0"/>
      </c:catAx>
      <c:valAx>
        <c:axId val="228826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8824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241301</xdr:colOff>
      <xdr:row>19</xdr:row>
      <xdr:rowOff>25400</xdr:rowOff>
    </xdr:from>
    <xdr:to>
      <xdr:col>3</xdr:col>
      <xdr:colOff>1060450</xdr:colOff>
      <xdr:row>35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400050</xdr:colOff>
      <xdr:row>16</xdr:row>
      <xdr:rowOff>165100</xdr:rowOff>
    </xdr:from>
    <xdr:to>
      <xdr:col>1</xdr:col>
      <xdr:colOff>1295400</xdr:colOff>
      <xdr:row>18</xdr:row>
      <xdr:rowOff>19050</xdr:rowOff>
    </xdr:to>
    <xdr:sp macro="" textlink="">
      <xdr:nvSpPr>
        <xdr:cNvPr id="3" name="TextBox 2"/>
        <xdr:cNvSpPr txBox="1"/>
      </xdr:nvSpPr>
      <xdr:spPr>
        <a:xfrm>
          <a:off x="400050" y="3111500"/>
          <a:ext cx="2120900" cy="222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EV vs ICE – 15-Year Cumulative CO₂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0.00121</cdr:x>
      <cdr:y>0</cdr:y>
    </cdr:from>
    <cdr:to>
      <cdr:x>1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349" y="0"/>
          <a:ext cx="5238750" cy="3060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568325</xdr:colOff>
      <xdr:row>0</xdr:row>
      <xdr:rowOff>88900</xdr:rowOff>
    </xdr:from>
    <xdr:to>
      <xdr:col>12</xdr:col>
      <xdr:colOff>263525</xdr:colOff>
      <xdr:row>15</xdr:row>
      <xdr:rowOff>69850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H24" sqref="H24"/>
    </sheetView>
  </sheetViews>
  <sheetFormatPr defaultRowHeight="14.5" x14ac:dyDescent="0.35"/>
  <cols>
    <col min="1" max="1" width="42.81640625" customWidth="1"/>
    <col min="2" max="2" width="11.26953125" customWidth="1"/>
    <col min="3" max="3" width="14.26953125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</row>
    <row r="5" spans="1:3" x14ac:dyDescent="0.35">
      <c r="A5" t="s">
        <v>3</v>
      </c>
      <c r="B5" t="s">
        <v>4</v>
      </c>
      <c r="C5" t="s">
        <v>5</v>
      </c>
    </row>
    <row r="6" spans="1:3" x14ac:dyDescent="0.35">
      <c r="A6" t="s">
        <v>6</v>
      </c>
      <c r="B6" s="1">
        <v>9000</v>
      </c>
      <c r="C6" s="1">
        <v>5500</v>
      </c>
    </row>
    <row r="7" spans="1:3" x14ac:dyDescent="0.35">
      <c r="A7" t="s">
        <v>7</v>
      </c>
      <c r="B7">
        <v>3500</v>
      </c>
      <c r="C7" s="1">
        <v>0</v>
      </c>
    </row>
    <row r="8" spans="1:3" x14ac:dyDescent="0.35">
      <c r="A8" t="s">
        <v>8</v>
      </c>
      <c r="B8" s="1">
        <v>15000</v>
      </c>
      <c r="C8" s="1">
        <v>15000</v>
      </c>
    </row>
    <row r="9" spans="1:3" x14ac:dyDescent="0.35">
      <c r="A9" t="s">
        <v>9</v>
      </c>
      <c r="B9">
        <v>0.15</v>
      </c>
      <c r="C9">
        <v>7.0000000000000007E-2</v>
      </c>
    </row>
    <row r="10" spans="1:3" x14ac:dyDescent="0.35">
      <c r="A10" t="s">
        <v>10</v>
      </c>
      <c r="B10" s="1">
        <v>0.82699999999999996</v>
      </c>
      <c r="C10">
        <v>2.31</v>
      </c>
    </row>
    <row r="11" spans="1:3" x14ac:dyDescent="0.35">
      <c r="A11" t="s">
        <v>11</v>
      </c>
      <c r="B11">
        <v>-3500</v>
      </c>
      <c r="C11">
        <v>-1000</v>
      </c>
    </row>
    <row r="12" spans="1:3" x14ac:dyDescent="0.35">
      <c r="A12" t="s">
        <v>12</v>
      </c>
      <c r="B12">
        <f>B8*B9*B10</f>
        <v>1860.75</v>
      </c>
      <c r="C12">
        <f>C8*C9*C10</f>
        <v>2425.5</v>
      </c>
    </row>
    <row r="13" spans="1:3" x14ac:dyDescent="0.35">
      <c r="A13" t="s">
        <v>13</v>
      </c>
      <c r="B13">
        <f>B12*15</f>
        <v>27911.25</v>
      </c>
      <c r="C13">
        <f>C12*15</f>
        <v>36382.5</v>
      </c>
    </row>
    <row r="14" spans="1:3" x14ac:dyDescent="0.35">
      <c r="A14" t="s">
        <v>14</v>
      </c>
      <c r="B14">
        <f>B6+B7+B13+B11</f>
        <v>36911.25</v>
      </c>
      <c r="C14">
        <f>C6+C7+C13+C11</f>
        <v>40882.5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23" sqref="E23"/>
    </sheetView>
  </sheetViews>
  <sheetFormatPr defaultRowHeight="14.5" x14ac:dyDescent="0.35"/>
  <cols>
    <col min="1" max="1" width="17.54296875" customWidth="1"/>
    <col min="2" max="2" width="24.6328125" customWidth="1"/>
    <col min="3" max="3" width="21.1796875" customWidth="1"/>
    <col min="4" max="4" width="21.08984375" customWidth="1"/>
    <col min="5" max="5" width="22.1796875" customWidth="1"/>
  </cols>
  <sheetData>
    <row r="1" spans="1:5" x14ac:dyDescent="0.35">
      <c r="A1" t="s">
        <v>15</v>
      </c>
      <c r="B1" t="s">
        <v>16</v>
      </c>
      <c r="C1" t="s">
        <v>17</v>
      </c>
      <c r="D1" t="s">
        <v>18</v>
      </c>
      <c r="E1" s="2" t="s">
        <v>19</v>
      </c>
    </row>
    <row r="2" spans="1:5" x14ac:dyDescent="0.35">
      <c r="A2">
        <v>1</v>
      </c>
      <c r="B2">
        <v>1860.75</v>
      </c>
      <c r="C2">
        <v>2425.5</v>
      </c>
      <c r="D2">
        <v>7360.75</v>
      </c>
      <c r="E2">
        <v>6925.5</v>
      </c>
    </row>
    <row r="3" spans="1:5" x14ac:dyDescent="0.35">
      <c r="A3">
        <v>2</v>
      </c>
      <c r="B3">
        <v>1860.75</v>
      </c>
      <c r="C3">
        <v>2425.5</v>
      </c>
      <c r="D3">
        <f>D2+B3</f>
        <v>9221.5</v>
      </c>
      <c r="E3">
        <f>E2+C3</f>
        <v>9351</v>
      </c>
    </row>
    <row r="4" spans="1:5" x14ac:dyDescent="0.35">
      <c r="A4">
        <v>3</v>
      </c>
      <c r="B4">
        <v>1860.75</v>
      </c>
      <c r="C4">
        <v>2425.5</v>
      </c>
      <c r="D4">
        <f t="shared" ref="D4:D16" si="0">D3+B4</f>
        <v>11082.25</v>
      </c>
      <c r="E4">
        <f t="shared" ref="E4:E16" si="1">E3+C4</f>
        <v>11776.5</v>
      </c>
    </row>
    <row r="5" spans="1:5" x14ac:dyDescent="0.35">
      <c r="A5">
        <v>4</v>
      </c>
      <c r="B5">
        <v>1860.75</v>
      </c>
      <c r="C5">
        <v>2425.5</v>
      </c>
      <c r="D5">
        <f t="shared" si="0"/>
        <v>12943</v>
      </c>
      <c r="E5">
        <f t="shared" si="1"/>
        <v>14202</v>
      </c>
    </row>
    <row r="6" spans="1:5" x14ac:dyDescent="0.35">
      <c r="A6">
        <v>5</v>
      </c>
      <c r="B6">
        <v>1860.75</v>
      </c>
      <c r="C6">
        <v>2425.5</v>
      </c>
      <c r="D6">
        <f t="shared" si="0"/>
        <v>14803.75</v>
      </c>
      <c r="E6">
        <f t="shared" si="1"/>
        <v>16627.5</v>
      </c>
    </row>
    <row r="7" spans="1:5" x14ac:dyDescent="0.35">
      <c r="A7">
        <v>6</v>
      </c>
      <c r="B7">
        <v>1860.75</v>
      </c>
      <c r="C7">
        <v>2425.5</v>
      </c>
      <c r="D7">
        <f t="shared" si="0"/>
        <v>16664.5</v>
      </c>
      <c r="E7">
        <f t="shared" si="1"/>
        <v>19053</v>
      </c>
    </row>
    <row r="8" spans="1:5" x14ac:dyDescent="0.35">
      <c r="A8">
        <v>7</v>
      </c>
      <c r="B8">
        <v>1860.75</v>
      </c>
      <c r="C8">
        <v>2425.5</v>
      </c>
      <c r="D8">
        <f t="shared" si="0"/>
        <v>18525.25</v>
      </c>
      <c r="E8">
        <f t="shared" si="1"/>
        <v>21478.5</v>
      </c>
    </row>
    <row r="9" spans="1:5" x14ac:dyDescent="0.35">
      <c r="A9">
        <v>8</v>
      </c>
      <c r="B9">
        <v>1860.75</v>
      </c>
      <c r="C9">
        <v>2425.5</v>
      </c>
      <c r="D9">
        <f t="shared" si="0"/>
        <v>20386</v>
      </c>
      <c r="E9">
        <f t="shared" si="1"/>
        <v>23904</v>
      </c>
    </row>
    <row r="10" spans="1:5" x14ac:dyDescent="0.35">
      <c r="A10">
        <v>9</v>
      </c>
      <c r="B10">
        <v>1860.75</v>
      </c>
      <c r="C10">
        <v>2425.5</v>
      </c>
      <c r="D10">
        <f t="shared" si="0"/>
        <v>22246.75</v>
      </c>
      <c r="E10">
        <f t="shared" si="1"/>
        <v>26329.5</v>
      </c>
    </row>
    <row r="11" spans="1:5" x14ac:dyDescent="0.35">
      <c r="A11">
        <v>10</v>
      </c>
      <c r="B11">
        <v>1860.75</v>
      </c>
      <c r="C11">
        <v>2425.5</v>
      </c>
      <c r="D11">
        <f t="shared" si="0"/>
        <v>24107.5</v>
      </c>
      <c r="E11">
        <f t="shared" si="1"/>
        <v>28755</v>
      </c>
    </row>
    <row r="12" spans="1:5" x14ac:dyDescent="0.35">
      <c r="A12">
        <v>11</v>
      </c>
      <c r="B12">
        <v>1860.75</v>
      </c>
      <c r="C12">
        <v>2425.5</v>
      </c>
      <c r="D12">
        <f t="shared" si="0"/>
        <v>25968.25</v>
      </c>
      <c r="E12">
        <f t="shared" si="1"/>
        <v>31180.5</v>
      </c>
    </row>
    <row r="13" spans="1:5" x14ac:dyDescent="0.35">
      <c r="A13">
        <v>12</v>
      </c>
      <c r="B13">
        <v>1860.75</v>
      </c>
      <c r="C13">
        <v>2425.5</v>
      </c>
      <c r="D13">
        <f t="shared" si="0"/>
        <v>27829</v>
      </c>
      <c r="E13">
        <f t="shared" si="1"/>
        <v>33606</v>
      </c>
    </row>
    <row r="14" spans="1:5" x14ac:dyDescent="0.35">
      <c r="A14">
        <v>13</v>
      </c>
      <c r="B14">
        <v>1860.75</v>
      </c>
      <c r="C14">
        <v>2425.5</v>
      </c>
      <c r="D14">
        <f t="shared" si="0"/>
        <v>29689.75</v>
      </c>
      <c r="E14">
        <f t="shared" si="1"/>
        <v>36031.5</v>
      </c>
    </row>
    <row r="15" spans="1:5" x14ac:dyDescent="0.35">
      <c r="A15">
        <v>14</v>
      </c>
      <c r="B15">
        <v>1860.75</v>
      </c>
      <c r="C15">
        <v>2425.5</v>
      </c>
      <c r="D15">
        <f t="shared" si="0"/>
        <v>31550.5</v>
      </c>
      <c r="E15">
        <f t="shared" si="1"/>
        <v>38457</v>
      </c>
    </row>
    <row r="16" spans="1:5" x14ac:dyDescent="0.35">
      <c r="A16">
        <v>15</v>
      </c>
      <c r="B16">
        <v>1860.75</v>
      </c>
      <c r="C16">
        <v>2425.5</v>
      </c>
      <c r="D16">
        <f t="shared" si="0"/>
        <v>33411.25</v>
      </c>
      <c r="E16">
        <f t="shared" si="1"/>
        <v>40882.5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sqref="A1:D6"/>
    </sheetView>
  </sheetViews>
  <sheetFormatPr defaultRowHeight="14.5" x14ac:dyDescent="0.35"/>
  <cols>
    <col min="1" max="1" width="17.453125" bestFit="1" customWidth="1"/>
    <col min="2" max="2" width="16.7265625" bestFit="1" customWidth="1"/>
    <col min="3" max="3" width="8.26953125" bestFit="1" customWidth="1"/>
    <col min="4" max="4" width="15.453125" customWidth="1"/>
  </cols>
  <sheetData>
    <row r="1" spans="1:4" x14ac:dyDescent="0.35">
      <c r="A1" s="4" t="s">
        <v>3</v>
      </c>
      <c r="B1" s="4" t="s">
        <v>5</v>
      </c>
      <c r="C1" s="4" t="s">
        <v>4</v>
      </c>
      <c r="D1" s="5" t="s">
        <v>26</v>
      </c>
    </row>
    <row r="2" spans="1:4" x14ac:dyDescent="0.35">
      <c r="A2" s="4" t="s">
        <v>22</v>
      </c>
      <c r="B2" s="4">
        <v>7360.75</v>
      </c>
      <c r="C2" s="4">
        <v>6925.5</v>
      </c>
      <c r="D2" s="4">
        <v>435.25</v>
      </c>
    </row>
    <row r="3" spans="1:4" x14ac:dyDescent="0.35">
      <c r="A3" s="4" t="s">
        <v>23</v>
      </c>
      <c r="B3" s="4">
        <v>7360.75</v>
      </c>
      <c r="C3" s="4">
        <v>6925.5</v>
      </c>
      <c r="D3" s="4">
        <v>435.25</v>
      </c>
    </row>
    <row r="4" spans="1:4" x14ac:dyDescent="0.35">
      <c r="A4" s="4" t="s">
        <v>24</v>
      </c>
      <c r="B4" s="4">
        <v>7360.75</v>
      </c>
      <c r="C4" s="4">
        <v>6925.5</v>
      </c>
      <c r="D4" s="4">
        <v>435.25</v>
      </c>
    </row>
    <row r="5" spans="1:4" x14ac:dyDescent="0.35">
      <c r="A5" s="4" t="s">
        <v>20</v>
      </c>
      <c r="B5" s="4">
        <v>7360.75</v>
      </c>
      <c r="C5" s="4">
        <v>6925.5</v>
      </c>
      <c r="D5" s="4">
        <v>435.25</v>
      </c>
    </row>
    <row r="6" spans="1:4" x14ac:dyDescent="0.35">
      <c r="A6" s="4" t="s">
        <v>25</v>
      </c>
      <c r="B6" s="4" t="s">
        <v>20</v>
      </c>
      <c r="C6" s="4" t="s">
        <v>21</v>
      </c>
      <c r="D6" s="4"/>
    </row>
    <row r="9" spans="1:4" x14ac:dyDescent="0.35">
      <c r="C9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Lifecycle Analysis</vt:lpstr>
      <vt:lpstr>15-Year Analysis</vt:lpstr>
      <vt:lpstr>Final Comparison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2026-10-07T09:53:46Z</dcterms:created>
  <dcterms:modified xsi:type="dcterms:W3CDTF">2026-10-08T16:37:07Z</dcterms:modified>
</cp:coreProperties>
</file>